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DB853C4A-34F4-4896-B43D-0865CB47AF30}" xr6:coauthVersionLast="47" xr6:coauthVersionMax="47" xr10:uidLastSave="{00000000-0000-0000-0000-000000000000}"/>
  <bookViews>
    <workbookView xWindow="17460" yWindow="3150" windowWidth="18720" windowHeight="15870" xr2:uid="{5C6CBF58-E1B5-436B-9C03-3D3048107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5" i="1"/>
  <c r="D9" i="1"/>
  <c r="D8" i="1"/>
  <c r="D7" i="1"/>
  <c r="D6" i="1"/>
  <c r="D5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<sst xmlns="http://schemas.openxmlformats.org/spreadsheetml/2006/main" count="17" uniqueCount="17">
  <si>
    <t>Component</t>
  </si>
  <si>
    <t>Methane</t>
  </si>
  <si>
    <t>Ethane</t>
  </si>
  <si>
    <t>Propane</t>
  </si>
  <si>
    <t>N-Butane</t>
  </si>
  <si>
    <t>N-Pentane</t>
  </si>
  <si>
    <t>Feed Molar Flow:</t>
  </si>
  <si>
    <t xml:space="preserve">Product Molar Flow: </t>
  </si>
  <si>
    <t>Feed (kgmole/h)</t>
  </si>
  <si>
    <t>Product (kgmole/h)</t>
  </si>
  <si>
    <t>Retained</t>
  </si>
  <si>
    <t>Feed Temp</t>
  </si>
  <si>
    <t>40°C</t>
  </si>
  <si>
    <t>60°C</t>
  </si>
  <si>
    <t>80°C</t>
  </si>
  <si>
    <t>n-Butane retained</t>
  </si>
  <si>
    <t>n-Pentane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</si>
</sst>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2" fontId="0" fillId="0" borderId="0" xfId="0" applyNumberFormat="1"/>
    <xf numFmtId="0" fontId="19" fillId="0" borderId="0" xfId="42" applyFont="1" applyAlignment="1">
      <alignment horizontal="center"/>
    </xf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576F1FD-254B-4A41-809C-7606837A831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3511-6910-4325-A565-3AA81574E631}">
  <dimension ref="A2:P17"/>
  <sheetViews>
    <sheetView tabSelected="1" workbookViewId="0">
      <selection activeCell="P6" sqref="P6"/>
    </sheetView>
  </sheetViews>
  <sheetFormatPr defaultRowHeight="15" x14ac:dyDescent="0.25"/>
  <sheetData>
    <row r="2" spans="1:16" x14ac:dyDescent="0.25">
      <c r="N2" t="s">
        <v>11</v>
      </c>
      <c r="O2" t="s">
        <v>15</v>
      </c>
      <c r="P2" t="s">
        <v>16</v>
      </c>
    </row>
    <row r="3" spans="1:16" x14ac:dyDescent="0.25">
      <c r="B3" t="s">
        <v>0</v>
      </c>
      <c r="C3" t="s">
        <v>8</v>
      </c>
      <c r="D3" t="s">
        <v>9</v>
      </c>
      <c r="E3" t="s">
        <v>10</v>
      </c>
    </row>
    <row r="4" spans="1:16" x14ac:dyDescent="0.25">
      <c r="N4" t="s">
        <v>12</v>
      </c>
      <c r="O4" s="3">
        <v>0.73099999999999998</v>
      </c>
      <c r="P4" s="3">
        <v>0.91500000000000004</v>
      </c>
    </row>
    <row r="5" spans="1:16" x14ac:dyDescent="0.25">
      <c r="B5" t="s">
        <v>1</v>
      </c>
      <c r="C5" s="1">
        <f>0.05*B16</f>
        <v>160.65709291406571</v>
      </c>
      <c r="D5" s="1">
        <f>0.0000999757*B17</f>
        <v>0.20684159241520533</v>
      </c>
      <c r="E5" s="1">
        <f>(D5/C5)*100</f>
        <v>0.12874725209041554</v>
      </c>
      <c r="N5" t="s">
        <v>13</v>
      </c>
      <c r="O5" s="3">
        <v>0.60699999999999998</v>
      </c>
      <c r="P5" s="3">
        <v>0.85699999999999998</v>
      </c>
    </row>
    <row r="6" spans="1:16" x14ac:dyDescent="0.25">
      <c r="B6" t="s">
        <v>2</v>
      </c>
      <c r="C6" s="1">
        <f>0.1*B16</f>
        <v>321.31418582813143</v>
      </c>
      <c r="D6" s="1">
        <f>0.010220064*B17</f>
        <v>21.1444812323926</v>
      </c>
      <c r="E6" s="1">
        <f t="shared" ref="E6:E9" si="0">(D6/C6)*100</f>
        <v>6.5806248727849903</v>
      </c>
      <c r="N6" t="s">
        <v>14</v>
      </c>
      <c r="O6" s="3">
        <v>0.47599999999999998</v>
      </c>
      <c r="P6" s="3">
        <v>0.77700000000000002</v>
      </c>
    </row>
    <row r="7" spans="1:16" x14ac:dyDescent="0.25">
      <c r="B7" t="s">
        <v>3</v>
      </c>
      <c r="C7" s="1">
        <f>0.15*B16</f>
        <v>481.97127874219706</v>
      </c>
      <c r="D7" s="1">
        <f>0.085275897*B17</f>
        <v>176.42889552276236</v>
      </c>
      <c r="E7" s="1">
        <f t="shared" si="0"/>
        <v>36.605686542814283</v>
      </c>
    </row>
    <row r="8" spans="1:16" x14ac:dyDescent="0.25">
      <c r="B8" t="s">
        <v>4</v>
      </c>
      <c r="C8" s="1">
        <f>0.35*B16</f>
        <v>1124.5996503984597</v>
      </c>
      <c r="D8" s="1">
        <f>0.404631625*B17</f>
        <v>837.14992399705329</v>
      </c>
      <c r="E8" s="1">
        <f t="shared" si="0"/>
        <v>74.439817200764793</v>
      </c>
    </row>
    <row r="9" spans="1:16" x14ac:dyDescent="0.25">
      <c r="B9" t="s">
        <v>5</v>
      </c>
      <c r="C9" s="1">
        <f>0.35*B16</f>
        <v>1124.5996503984597</v>
      </c>
      <c r="D9" s="1">
        <f>0.499772438*B17</f>
        <v>1033.9885284239017</v>
      </c>
      <c r="E9" s="1">
        <f t="shared" si="0"/>
        <v>91.942810764483752</v>
      </c>
    </row>
    <row r="16" spans="1:16" x14ac:dyDescent="0.25">
      <c r="A16" t="s">
        <v>6</v>
      </c>
      <c r="B16" s="2">
        <v>3213.1418582813139</v>
      </c>
    </row>
    <row r="17" spans="1:2" x14ac:dyDescent="0.25">
      <c r="A17" t="s">
        <v>7</v>
      </c>
      <c r="B17" s="2">
        <v>2068.9186713892009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2026-09-27T18:53:45Z</dcterms:created>
  <dcterms:modified xsi:type="dcterms:W3CDTF">2026-09-27T18:54:04Z</dcterms:modified>
</cp:coreProperties>
</file>